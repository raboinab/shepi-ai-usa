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MO" sheetId="1" state="visible" r:id="rId1"/>
    <sheet xmlns:r="http://schemas.openxmlformats.org/officeDocument/2006/relationships" name="DEMO · Income Statement" sheetId="2" state="visible" r:id="rId2"/>
    <sheet xmlns:r="http://schemas.openxmlformats.org/officeDocument/2006/relationships" name="DEMO · EBITDA Bridge" sheetId="3" state="visible" r:id="rId3"/>
    <sheet xmlns:r="http://schemas.openxmlformats.org/officeDocument/2006/relationships" name="DEMO · Adjustm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92400E"/>
      <sz val="18"/>
    </font>
    <font>
      <color rgb="00334155"/>
      <sz val="11"/>
    </font>
    <font>
      <name val="Calibri"/>
      <b val="1"/>
      <color rgb="00FFFFFF"/>
      <sz val="11"/>
    </font>
    <font>
      <name val="Calibri"/>
      <sz val="10"/>
    </font>
    <font>
      <b val="1"/>
      <color rgb="000F172A"/>
      <sz val="14"/>
    </font>
    <font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0F172A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6" customHeight="1">
      <c r="A1" s="1" t="inlineStr">
        <is>
          <t>DEMO PREVIEW — NOT FOR DISTRIBUTION</t>
        </is>
      </c>
    </row>
    <row r="2">
      <c r="A2" s="2" t="inlineStr"/>
    </row>
    <row r="3">
      <c r="A3" s="2" t="inlineStr">
        <is>
          <t>Company: Acme Industrial Supply Co.</t>
        </is>
      </c>
    </row>
    <row r="4">
      <c r="A4" s="2" t="inlineStr">
        <is>
          <t>Period:  Jan 2022 – Dec 2024 (TTM through Dec 2024)</t>
        </is>
      </c>
    </row>
    <row r="5">
      <c r="A5" s="2" t="inlineStr"/>
    </row>
    <row r="6">
      <c r="A6" s="2" t="inlineStr">
        <is>
          <t>This workbook is a sample produced from synthetic data.</t>
        </is>
      </c>
    </row>
    <row r="7">
      <c r="A7" s="2" t="inlineStr">
        <is>
          <t>Sign up at shepi.ai to generate your own QoE workbook from real client data.</t>
        </is>
      </c>
    </row>
    <row r="8">
      <c r="A8" s="2" t="inlineStr"/>
    </row>
    <row r="9">
      <c r="A9" s="2" t="inlineStr">
        <is>
          <t>Sheets included in this preview:</t>
        </is>
      </c>
    </row>
    <row r="10">
      <c r="A10" s="2" t="inlineStr">
        <is>
          <t xml:space="preserve">  • Income Statement</t>
        </is>
      </c>
    </row>
    <row r="11">
      <c r="A11" s="2" t="inlineStr">
        <is>
          <t xml:space="preserve">  • EBITDA Bridge</t>
        </is>
      </c>
    </row>
    <row r="12">
      <c r="A12" s="2" t="inlineStr">
        <is>
          <t xml:space="preserve">  • Adjustments Detail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</cols>
  <sheetData>
    <row r="1">
      <c r="A1" s="3" t="inlineStr"/>
      <c r="B1" s="4" t="inlineStr">
        <is>
          <t>FY2022</t>
        </is>
      </c>
      <c r="C1" s="4" t="inlineStr">
        <is>
          <t>FY2023</t>
        </is>
      </c>
      <c r="D1" s="4" t="inlineStr">
        <is>
          <t>FY2024 (TTM)</t>
        </is>
      </c>
    </row>
    <row r="2">
      <c r="A2" s="5" t="inlineStr">
        <is>
          <t>Revenue</t>
        </is>
      </c>
      <c r="B2" s="6" t="n">
        <v>21840120</v>
      </c>
      <c r="C2" s="6" t="n">
        <v>23215400</v>
      </c>
      <c r="D2" s="6" t="n">
        <v>24615420</v>
      </c>
    </row>
    <row r="3">
      <c r="A3" s="7" t="inlineStr">
        <is>
          <t>Cost of Goods Sold</t>
        </is>
      </c>
      <c r="B3" s="8" t="n">
        <v>-14120400</v>
      </c>
      <c r="C3" s="8" t="n">
        <v>-14980220</v>
      </c>
      <c r="D3" s="8" t="n">
        <v>-15872210</v>
      </c>
    </row>
    <row r="4">
      <c r="A4" s="5" t="inlineStr">
        <is>
          <t>Gross Profit</t>
        </is>
      </c>
      <c r="B4" s="6">
        <f>B2+B3</f>
        <v/>
      </c>
      <c r="C4" s="6">
        <f>C2+C3</f>
        <v/>
      </c>
      <c r="D4" s="6">
        <f>D2+D3</f>
        <v/>
      </c>
    </row>
    <row r="5">
      <c r="A5" s="7" t="inlineStr">
        <is>
          <t>Gross Margin %</t>
        </is>
      </c>
      <c r="B5" s="9">
        <f>B4/B2</f>
        <v/>
      </c>
      <c r="C5" s="9">
        <f>C4/C2</f>
        <v/>
      </c>
      <c r="D5" s="9">
        <f>D4/D2</f>
        <v/>
      </c>
    </row>
    <row r="6">
      <c r="A6" s="5" t="inlineStr"/>
      <c r="B6" s="10" t="inlineStr"/>
      <c r="C6" s="10" t="inlineStr"/>
      <c r="D6" s="10" t="inlineStr"/>
    </row>
    <row r="7">
      <c r="A7" s="7" t="inlineStr">
        <is>
          <t>Operating Expenses</t>
        </is>
      </c>
      <c r="B7" s="11" t="inlineStr"/>
      <c r="C7" s="11" t="inlineStr"/>
      <c r="D7" s="11" t="inlineStr"/>
    </row>
    <row r="8">
      <c r="A8" s="5" t="inlineStr">
        <is>
          <t xml:space="preserve">  Salaries &amp; Wages</t>
        </is>
      </c>
      <c r="B8" s="6" t="n">
        <v>-3840000</v>
      </c>
      <c r="C8" s="6" t="n">
        <v>-4120000</v>
      </c>
      <c r="D8" s="6" t="n">
        <v>-4385000</v>
      </c>
    </row>
    <row r="9">
      <c r="A9" s="7" t="inlineStr">
        <is>
          <t xml:space="preserve">  Owner Compensation</t>
        </is>
      </c>
      <c r="B9" s="8" t="n">
        <v>-780000</v>
      </c>
      <c r="C9" s="8" t="n">
        <v>-795000</v>
      </c>
      <c r="D9" s="8" t="n">
        <v>-800000</v>
      </c>
    </row>
    <row r="10">
      <c r="A10" s="5" t="inlineStr">
        <is>
          <t xml:space="preserve">  Rent</t>
        </is>
      </c>
      <c r="B10" s="6" t="n">
        <v>-420000</v>
      </c>
      <c r="C10" s="6" t="n">
        <v>-432000</v>
      </c>
      <c r="D10" s="6" t="n">
        <v>-445000</v>
      </c>
    </row>
    <row r="11">
      <c r="A11" s="7" t="inlineStr">
        <is>
          <t xml:space="preserve">  Professional Fees</t>
        </is>
      </c>
      <c r="B11" s="8" t="n">
        <v>-185000</v>
      </c>
      <c r="C11" s="8" t="n">
        <v>-310000</v>
      </c>
      <c r="D11" s="8" t="n">
        <v>-142000</v>
      </c>
    </row>
    <row r="12">
      <c r="A12" s="5" t="inlineStr">
        <is>
          <t xml:space="preserve">  Travel &amp; Entertainment</t>
        </is>
      </c>
      <c r="B12" s="6" t="n">
        <v>-98000</v>
      </c>
      <c r="C12" s="6" t="n">
        <v>-112000</v>
      </c>
      <c r="D12" s="6" t="n">
        <v>-134200</v>
      </c>
    </row>
    <row r="13">
      <c r="A13" s="7" t="inlineStr">
        <is>
          <t xml:space="preserve">  Other OpEx</t>
        </is>
      </c>
      <c r="B13" s="8" t="n">
        <v>-612000</v>
      </c>
      <c r="C13" s="8" t="n">
        <v>-638000</v>
      </c>
      <c r="D13" s="8" t="n">
        <v>-677220</v>
      </c>
    </row>
    <row r="14">
      <c r="A14" s="5" t="inlineStr">
        <is>
          <t>Total OpEx</t>
        </is>
      </c>
      <c r="B14" s="6">
        <f>SUM(B8:B13)</f>
        <v/>
      </c>
      <c r="C14" s="6">
        <f>SUM(C8:C13)</f>
        <v/>
      </c>
      <c r="D14" s="6">
        <f>SUM(D8:D13)</f>
        <v/>
      </c>
    </row>
    <row r="15">
      <c r="A15" s="7" t="inlineStr"/>
      <c r="B15" s="11" t="inlineStr"/>
      <c r="C15" s="11" t="inlineStr"/>
      <c r="D15" s="11" t="inlineStr"/>
    </row>
    <row r="16">
      <c r="A16" s="5" t="inlineStr">
        <is>
          <t>Operating Income</t>
        </is>
      </c>
      <c r="B16" s="6">
        <f>B4+B14</f>
        <v/>
      </c>
      <c r="C16" s="6">
        <f>C4+C14</f>
        <v/>
      </c>
      <c r="D16" s="6">
        <f>D4+D14</f>
        <v/>
      </c>
    </row>
    <row r="17">
      <c r="A17" s="7" t="inlineStr">
        <is>
          <t>Depreciation &amp; Amortization</t>
        </is>
      </c>
      <c r="B17" s="8" t="n">
        <v>-185000</v>
      </c>
      <c r="C17" s="8" t="n">
        <v>-195000</v>
      </c>
      <c r="D17" s="8" t="n">
        <v>-210000</v>
      </c>
    </row>
    <row r="18">
      <c r="A18" s="5" t="inlineStr">
        <is>
          <t>EBITDA</t>
        </is>
      </c>
      <c r="B18" s="6">
        <f>B16-B17</f>
        <v/>
      </c>
      <c r="C18" s="6">
        <f>C16-C17</f>
        <v/>
      </c>
      <c r="D18" s="6">
        <f>D16-D17</f>
        <v/>
      </c>
    </row>
    <row r="19">
      <c r="A19" s="7" t="inlineStr">
        <is>
          <t>EBITDA Margin %</t>
        </is>
      </c>
      <c r="B19" s="9">
        <f>B18/B2</f>
        <v/>
      </c>
      <c r="C19" s="9">
        <f>C18/C2</f>
        <v/>
      </c>
      <c r="D19" s="9">
        <f>D18/D2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</cols>
  <sheetData>
    <row r="1">
      <c r="A1" s="12" t="inlineStr">
        <is>
          <t>EBITDA Bridge — TTM Dec 2024</t>
        </is>
      </c>
    </row>
    <row r="2">
      <c r="A2" s="3" t="inlineStr"/>
      <c r="B2" s="4" t="inlineStr">
        <is>
          <t>Amount</t>
        </is>
      </c>
      <c r="C2" s="4" t="inlineStr">
        <is>
          <t>Cumulative</t>
        </is>
      </c>
    </row>
    <row r="3">
      <c r="A3" s="7" t="inlineStr">
        <is>
          <t>Reported EBITDA</t>
        </is>
      </c>
      <c r="B3" s="8" t="n">
        <v>3121800</v>
      </c>
      <c r="C3" s="8">
        <f>B3</f>
        <v/>
      </c>
    </row>
    <row r="4">
      <c r="A4" s="5" t="inlineStr">
        <is>
          <t>+ Owner compensation normalization</t>
        </is>
      </c>
      <c r="B4" s="6" t="n">
        <v>420000</v>
      </c>
      <c r="C4" s="6">
        <f>C3+B4</f>
        <v/>
      </c>
    </row>
    <row r="5">
      <c r="A5" s="7" t="inlineStr">
        <is>
          <t>+ Non-recurring legal settlement</t>
        </is>
      </c>
      <c r="B5" s="8" t="n">
        <v>185000</v>
      </c>
      <c r="C5" s="8">
        <f>C4+B5</f>
        <v/>
      </c>
    </row>
    <row r="6">
      <c r="A6" s="5" t="inlineStr">
        <is>
          <t>+ Personal expenses (owner CC)</t>
        </is>
      </c>
      <c r="B6" s="6" t="n">
        <v>78400</v>
      </c>
      <c r="C6" s="6">
        <f>C5+B6</f>
        <v/>
      </c>
    </row>
    <row r="7">
      <c r="A7" s="7" t="inlineStr">
        <is>
          <t>+ Related-party rent above market</t>
        </is>
      </c>
      <c r="B7" s="8" t="n">
        <v>54200</v>
      </c>
      <c r="C7" s="8">
        <f>C6+B7</f>
        <v/>
      </c>
    </row>
    <row r="8">
      <c r="A8" s="5" t="inlineStr">
        <is>
          <t>+ One-time CRM consulting</t>
        </is>
      </c>
      <c r="B8" s="6" t="n">
        <v>38500</v>
      </c>
      <c r="C8" s="6">
        <f>C7+B8</f>
        <v/>
      </c>
    </row>
    <row r="9">
      <c r="A9" s="7" t="inlineStr">
        <is>
          <t>+ Inventory write-down (one-time)</t>
        </is>
      </c>
      <c r="B9" s="8" t="n">
        <v>26900</v>
      </c>
      <c r="C9" s="8">
        <f>C8+B9</f>
        <v/>
      </c>
    </row>
    <row r="10">
      <c r="A10" s="5" t="inlineStr">
        <is>
          <t>+ Discretionary owner travel</t>
        </is>
      </c>
      <c r="B10" s="6" t="n">
        <v>19800</v>
      </c>
      <c r="C10" s="6">
        <f>C9+B10</f>
        <v/>
      </c>
    </row>
    <row r="11">
      <c r="A11" s="7" t="inlineStr">
        <is>
          <t>+ T&amp;E — country club dues</t>
        </is>
      </c>
      <c r="B11" s="8" t="n">
        <v>14400</v>
      </c>
      <c r="C11" s="8">
        <f>C10+B11</f>
        <v/>
      </c>
    </row>
    <row r="12">
      <c r="A12" s="13" t="inlineStr">
        <is>
          <t>Adjusted EBITDA</t>
        </is>
      </c>
      <c r="B12" s="14">
        <f>SUM(B3:B11)</f>
        <v/>
      </c>
      <c r="C12" s="6">
        <f>C11</f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22" customWidth="1" min="3" max="3"/>
    <col width="14" customWidth="1" min="4" max="4"/>
    <col width="12" customWidth="1" min="5" max="5"/>
    <col width="60" customWidth="1" min="6" max="6"/>
  </cols>
  <sheetData>
    <row r="1">
      <c r="A1" s="3" t="inlineStr">
        <is>
          <t>#</t>
        </is>
      </c>
      <c r="B1" s="4" t="inlineStr">
        <is>
          <t>Adjustment</t>
        </is>
      </c>
      <c r="C1" s="4" t="inlineStr">
        <is>
          <t>Class</t>
        </is>
      </c>
      <c r="D1" s="4" t="inlineStr">
        <is>
          <t>Amount</t>
        </is>
      </c>
      <c r="E1" s="4" t="inlineStr">
        <is>
          <t>Support Tier</t>
        </is>
      </c>
      <c r="F1" s="4" t="inlineStr">
        <is>
          <t>Rationale</t>
        </is>
      </c>
    </row>
    <row r="2" ht="32" customHeight="1">
      <c r="A2" s="5" t="n">
        <v>1</v>
      </c>
      <c r="B2" s="10" t="inlineStr">
        <is>
          <t>Owner compensation normalization</t>
        </is>
      </c>
      <c r="C2" s="10" t="inlineStr">
        <is>
          <t>Pro-forma</t>
        </is>
      </c>
      <c r="D2" s="6" t="n">
        <v>420000</v>
      </c>
      <c r="E2" s="10" t="inlineStr">
        <is>
          <t>Tier 1</t>
        </is>
      </c>
      <c r="F2" s="15" t="inlineStr">
        <is>
          <t>Combined W-2 + bonus $800K vs. industry benchmark $380K (BLS OES).</t>
        </is>
      </c>
    </row>
    <row r="3" ht="32" customHeight="1">
      <c r="A3" s="7" t="n">
        <v>2</v>
      </c>
      <c r="B3" s="11" t="inlineStr">
        <is>
          <t>Non-recurring legal settlement</t>
        </is>
      </c>
      <c r="C3" s="11" t="inlineStr">
        <is>
          <t>Non-recurring</t>
        </is>
      </c>
      <c r="D3" s="8" t="n">
        <v>185000</v>
      </c>
      <c r="E3" s="11" t="inlineStr">
        <is>
          <t>Tier 1</t>
        </is>
      </c>
      <c r="F3" s="16" t="inlineStr">
        <is>
          <t>2023 wrongful termination settlement; one-time, no future recurrence.</t>
        </is>
      </c>
    </row>
    <row r="4" ht="32" customHeight="1">
      <c r="A4" s="5" t="n">
        <v>3</v>
      </c>
      <c r="B4" s="10" t="inlineStr">
        <is>
          <t>Personal expenses (owner CC)</t>
        </is>
      </c>
      <c r="C4" s="10" t="inlineStr">
        <is>
          <t>Personal/Discretionary</t>
        </is>
      </c>
      <c r="D4" s="6" t="n">
        <v>78400</v>
      </c>
      <c r="E4" s="10" t="inlineStr">
        <is>
          <t>Tier 2</t>
        </is>
      </c>
      <c r="F4" s="15" t="inlineStr">
        <is>
          <t>Identified via GL anomaly detection; meals, retail, family travel.</t>
        </is>
      </c>
    </row>
    <row r="5" ht="32" customHeight="1">
      <c r="A5" s="7" t="n">
        <v>4</v>
      </c>
      <c r="B5" s="11" t="inlineStr">
        <is>
          <t>Related-party rent above market</t>
        </is>
      </c>
      <c r="C5" s="11" t="inlineStr">
        <is>
          <t>Related party</t>
        </is>
      </c>
      <c r="D5" s="8" t="n">
        <v>54200</v>
      </c>
      <c r="E5" s="11" t="inlineStr">
        <is>
          <t>Tier 2</t>
        </is>
      </c>
      <c r="F5" s="16" t="inlineStr">
        <is>
          <t>Property owned by majority shareholder; rent 18% above market comps.</t>
        </is>
      </c>
    </row>
    <row r="6" ht="32" customHeight="1">
      <c r="A6" s="5" t="n">
        <v>5</v>
      </c>
      <c r="B6" s="10" t="inlineStr">
        <is>
          <t>One-time CRM consulting</t>
        </is>
      </c>
      <c r="C6" s="10" t="inlineStr">
        <is>
          <t>Non-recurring</t>
        </is>
      </c>
      <c r="D6" s="6" t="n">
        <v>38500</v>
      </c>
      <c r="E6" s="10" t="inlineStr">
        <is>
          <t>Tier 1</t>
        </is>
      </c>
      <c r="F6" s="15" t="inlineStr">
        <is>
          <t>2023 Salesforce migration; vendor invoice confirms one-time scope.</t>
        </is>
      </c>
    </row>
    <row r="7" ht="32" customHeight="1">
      <c r="A7" s="7" t="n">
        <v>6</v>
      </c>
      <c r="B7" s="11" t="inlineStr">
        <is>
          <t>Inventory write-down</t>
        </is>
      </c>
      <c r="C7" s="11" t="inlineStr">
        <is>
          <t>Non-recurring</t>
        </is>
      </c>
      <c r="D7" s="8" t="n">
        <v>26900</v>
      </c>
      <c r="E7" s="11" t="inlineStr">
        <is>
          <t>Tier 2</t>
        </is>
      </c>
      <c r="F7" s="16" t="inlineStr">
        <is>
          <t>Q3 2023 obsolete SKU reserve; not recurring per management.</t>
        </is>
      </c>
    </row>
    <row r="8" ht="32" customHeight="1">
      <c r="A8" s="5" t="n">
        <v>7</v>
      </c>
      <c r="B8" s="10" t="inlineStr">
        <is>
          <t>Discretionary owner travel</t>
        </is>
      </c>
      <c r="C8" s="10" t="inlineStr">
        <is>
          <t>Personal/Discretionary</t>
        </is>
      </c>
      <c r="D8" s="6" t="n">
        <v>19800</v>
      </c>
      <c r="E8" s="10" t="inlineStr">
        <is>
          <t>Tier 2</t>
        </is>
      </c>
      <c r="F8" s="15" t="inlineStr">
        <is>
          <t>Family vacation booked through corporate travel account.</t>
        </is>
      </c>
    </row>
    <row r="9" ht="32" customHeight="1">
      <c r="A9" s="7" t="n">
        <v>8</v>
      </c>
      <c r="B9" s="11" t="inlineStr">
        <is>
          <t>T&amp;E — country club dues</t>
        </is>
      </c>
      <c r="C9" s="11" t="inlineStr">
        <is>
          <t>Personal/Discretionary</t>
        </is>
      </c>
      <c r="D9" s="8" t="n">
        <v>14400</v>
      </c>
      <c r="E9" s="11" t="inlineStr">
        <is>
          <t>Tier 1</t>
        </is>
      </c>
      <c r="F9" s="16" t="inlineStr">
        <is>
          <t>Annual dues; classified as discretionary owner benefit.</t>
        </is>
      </c>
    </row>
    <row r="10">
      <c r="A10" s="17" t="inlineStr"/>
      <c r="B10" s="18" t="inlineStr">
        <is>
          <t>Total</t>
        </is>
      </c>
      <c r="C10" s="10" t="inlineStr"/>
      <c r="D10" s="19">
        <f>SUM(D2:D9)</f>
        <v/>
      </c>
      <c r="E10" s="10" t="inlineStr"/>
      <c r="F10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2026-05-03T22:09:30Z</dcterms:created>
  <dcterms:modified xmlns:dcterms="http://purl.org/dc/terms/" xmlns:xsi="http://www.w3.org/2001/XMLSchema-instance" xsi:type="dcterms:W3CDTF">2026-05-03T22:09:30Z</dcterms:modified>
</cp:coreProperties>
</file>